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uff\miniMIDI\Components\"/>
    </mc:Choice>
  </mc:AlternateContent>
  <xr:revisionPtr revIDLastSave="0" documentId="13_ncr:9_{9D685C81-7F82-4302-87E5-AF363A40EA49}" xr6:coauthVersionLast="47" xr6:coauthVersionMax="47" xr10:uidLastSave="{00000000-0000-0000-0000-000000000000}"/>
  <bookViews>
    <workbookView xWindow="-52" yWindow="2963" windowWidth="14970" windowHeight="12682" xr2:uid="{514E0B24-757F-4948-B9FD-C33F078C56F7}"/>
  </bookViews>
  <sheets>
    <sheet name="BOM_test1_2025-04-13 (1)" sheetId="1" r:id="rId1"/>
  </sheets>
  <calcPr calcId="0"/>
</workbook>
</file>

<file path=xl/calcChain.xml><?xml version="1.0" encoding="utf-8"?>
<calcChain xmlns="http://schemas.openxmlformats.org/spreadsheetml/2006/main">
  <c r="W28" i="1" l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" i="1"/>
</calcChain>
</file>

<file path=xl/sharedStrings.xml><?xml version="1.0" encoding="utf-8"?>
<sst xmlns="http://schemas.openxmlformats.org/spreadsheetml/2006/main" count="433" uniqueCount="223">
  <si>
    <t>ID</t>
  </si>
  <si>
    <t>Name</t>
  </si>
  <si>
    <t>Designator</t>
  </si>
  <si>
    <t>Footprint</t>
  </si>
  <si>
    <t>Quantity</t>
  </si>
  <si>
    <t>Manufacturer Part</t>
  </si>
  <si>
    <t>Manufacturer</t>
  </si>
  <si>
    <t>Supplier</t>
  </si>
  <si>
    <t>Supplier Part</t>
  </si>
  <si>
    <t>Price</t>
  </si>
  <si>
    <t>Pins</t>
  </si>
  <si>
    <t>3DModel</t>
  </si>
  <si>
    <t>Contributor</t>
  </si>
  <si>
    <t>JLCPCB Part Class</t>
  </si>
  <si>
    <t>Package Display</t>
  </si>
  <si>
    <t>Value</t>
  </si>
  <si>
    <t>link</t>
  </si>
  <si>
    <t>BRD_LR</t>
  </si>
  <si>
    <t>LR5,LR4,LR1</t>
  </si>
  <si>
    <t>0.1u</t>
  </si>
  <si>
    <t>C8,C10,C13,C18,C23,C24,C27,C29,C42,C43,C44,C46,C49,C50,C51,C52,C54,C55,C59,C60,C63,C64,C73,C74,C77,C79,C82,C83,C84,C85,C88,C89,C90,C91</t>
  </si>
  <si>
    <t>C0402</t>
  </si>
  <si>
    <t>CL05B104KO5VPNC</t>
  </si>
  <si>
    <t>SAMSUNG(三星)</t>
  </si>
  <si>
    <t>LCSC</t>
  </si>
  <si>
    <t>C307332</t>
  </si>
  <si>
    <t>C0402_L1.0-W0.5-H0.5</t>
  </si>
  <si>
    <t>LCEDA_Lib</t>
  </si>
  <si>
    <t>https://item.szlcsc.com/15869.html</t>
  </si>
  <si>
    <t>R0603</t>
  </si>
  <si>
    <t>R41,R42,R43,R44,R45,R46,R59,R31,R3,R4,R5,R6,R1,R30</t>
  </si>
  <si>
    <t>RC0603FR-0733RL</t>
  </si>
  <si>
    <t>YAGEO(国巨)</t>
  </si>
  <si>
    <t>C108661</t>
  </si>
  <si>
    <t>lcsc</t>
  </si>
  <si>
    <t>Extended Part</t>
  </si>
  <si>
    <t>33Ω</t>
  </si>
  <si>
    <t>https://lcsc.com/eda_search?q=C108661&amp;%26type=1&amp;ref=editor</t>
  </si>
  <si>
    <t>0.47u</t>
  </si>
  <si>
    <t>C56,C57,C86,C87,C48,C47,C31,C32</t>
  </si>
  <si>
    <t>C0603</t>
  </si>
  <si>
    <t>CL10A474KB8NNNC</t>
  </si>
  <si>
    <t>C170149</t>
  </si>
  <si>
    <t>C0603_L1.6-W0.8-H0.8</t>
  </si>
  <si>
    <t>No</t>
  </si>
  <si>
    <t>https://item.szlcsc.com/362304.html</t>
  </si>
  <si>
    <t>AMS1117-1.8(SOT-223)</t>
  </si>
  <si>
    <t>LDO35,LDO34</t>
  </si>
  <si>
    <t>SOT-223-4_L6.5-W3.5-P2.30-LS7.0-BR</t>
  </si>
  <si>
    <t>HXY MOSFET(华轩阳电子)</t>
  </si>
  <si>
    <t>C5346135</t>
  </si>
  <si>
    <t>SOT-223-4P_L6.5-W3.5-H1.6-LS7.0-P2.30</t>
  </si>
  <si>
    <t>https://item.szlcsc.com/84517.html</t>
  </si>
  <si>
    <t>AUDIO-TH_PJ-3200</t>
  </si>
  <si>
    <t>U114,U115,U116,U121,U123,U124,U125,U126,U127,U130,U131,U132,U133,U134,U110,U109,U107,U108,U106,U103,U102,U100,U56,U99,U97,U87,U54,U55</t>
  </si>
  <si>
    <t>PJ-3200</t>
  </si>
  <si>
    <t>XKB Connectivity(中国星坤)</t>
  </si>
  <si>
    <t>C2689690</t>
  </si>
  <si>
    <t>https://lcsc.com/eda_search?q=C2689690&amp;%26type=1&amp;ref=editor</t>
  </si>
  <si>
    <t>KEY-SMD_B3U-1000PM</t>
  </si>
  <si>
    <t>K5,K6,K7,K8,K4,K3,K2,K1</t>
  </si>
  <si>
    <t>B3U-1000P</t>
  </si>
  <si>
    <t>OMRON(欧姆龙)</t>
  </si>
  <si>
    <t>C231329</t>
  </si>
  <si>
    <t>KEY-SMD_2P-L3.0-W2.5-H1.6-LS4.0</t>
  </si>
  <si>
    <t>立创EDA官方封装库</t>
  </si>
  <si>
    <t>https://lcsc.com/eda_search?q=C231329&amp;%26type=1&amp;ref=editor</t>
  </si>
  <si>
    <t>TDM_PINS</t>
  </si>
  <si>
    <t>TDM3,TDM4,TDM1,TDM2</t>
  </si>
  <si>
    <t>SPI_PINS</t>
  </si>
  <si>
    <t>SPI2,SPI1</t>
  </si>
  <si>
    <t>BRD_UD</t>
  </si>
  <si>
    <t>UD3,UD4,UD1,UD2</t>
  </si>
  <si>
    <t>TLV320AIC3101IRHBR</t>
  </si>
  <si>
    <t>CODEC6,CODEC7,CODEC1,CODEC5</t>
  </si>
  <si>
    <t>QFN-32_L5.0-W5.0-P0.50-TL-EP3.4</t>
  </si>
  <si>
    <t>TI(德州仪器)</t>
  </si>
  <si>
    <t>C58566</t>
  </si>
  <si>
    <t>QFN-32_L5.0-W5.0-H0.9-P0.50</t>
  </si>
  <si>
    <t>https://item.szlcsc.com/81642.html</t>
  </si>
  <si>
    <t>1u</t>
  </si>
  <si>
    <t>C58,C62,C65,C67,C70,C72,C75,C78,C80,C9,C7,C16,C14,C12,C20,C22,C25,C30</t>
  </si>
  <si>
    <t>CGA0402X5R105K500GT</t>
  </si>
  <si>
    <t>HRE(芯声)</t>
  </si>
  <si>
    <t>C6119811</t>
  </si>
  <si>
    <t>10p</t>
  </si>
  <si>
    <t>C61,C76,C17,C26</t>
  </si>
  <si>
    <t>GRM1555C1H180FA01D</t>
  </si>
  <si>
    <t>muRata(村田)</t>
  </si>
  <si>
    <t>C161534</t>
  </si>
  <si>
    <t>2.7k</t>
  </si>
  <si>
    <t>R47,R48,R8,R9</t>
  </si>
  <si>
    <t>R0402</t>
  </si>
  <si>
    <t>RC0402FR-072K7L</t>
  </si>
  <si>
    <t>C138017</t>
  </si>
  <si>
    <t>R0402_L1.0-W0.5-H0.4</t>
  </si>
  <si>
    <t>https://item.szlcsc.com/323315.html</t>
  </si>
  <si>
    <t>10u</t>
  </si>
  <si>
    <t>C66,C71,C15,C21</t>
  </si>
  <si>
    <t>CL05A106MQ5NUNC</t>
  </si>
  <si>
    <t>C15525</t>
  </si>
  <si>
    <t>C68,C69,C81,C92,C53,C33,C11,C19</t>
  </si>
  <si>
    <t>SOT-23-3_L2.9-W1.6-P1.90-LS2.8-BR</t>
  </si>
  <si>
    <t>U117,U1</t>
  </si>
  <si>
    <t>BAT54C,215</t>
  </si>
  <si>
    <t>Nexperia(安世)</t>
  </si>
  <si>
    <t>C37704</t>
  </si>
  <si>
    <t>SOT-23-3L_L2.9-W1.6-H1.1-LS2.8-P0.95</t>
  </si>
  <si>
    <t>https://lcsc.com/eda_search?q=C37704&amp;%26type=1&amp;ref=editor</t>
  </si>
  <si>
    <t>USB_PINS</t>
  </si>
  <si>
    <t>USB3,USB2</t>
  </si>
  <si>
    <t>RP_ZERO</t>
  </si>
  <si>
    <t>RPZ2,RPZ1</t>
  </si>
  <si>
    <t>R49,R50,R51,R52,R53,R54,R55,R56,R57,R58,R60,R61,R62,R34,R33,R32,R17,R18,R19,R20,R16,R15,R10,R11,R12,R13</t>
  </si>
  <si>
    <t>0603WAF1002T5E</t>
  </si>
  <si>
    <t>UNI-ROYAL(厚声)</t>
  </si>
  <si>
    <t>C25804</t>
  </si>
  <si>
    <t>Basic Part</t>
  </si>
  <si>
    <t>10kΩ</t>
  </si>
  <si>
    <t>https://lcsc.com/eda_search?q=C25804&amp;%26type=1&amp;ref=editor</t>
  </si>
  <si>
    <t>LED0603-RD_RED</t>
  </si>
  <si>
    <t>U118,U119,U91,U2</t>
  </si>
  <si>
    <t>XL-1608SURC-06</t>
  </si>
  <si>
    <t>XINGLIGHT(成兴光)</t>
  </si>
  <si>
    <t>C965799</t>
  </si>
  <si>
    <t>https://lcsc.com/eda_search?q=C965799&amp;%26type=1&amp;ref=editor</t>
  </si>
  <si>
    <t>R63,R64,R35,R2</t>
  </si>
  <si>
    <t>2.7kΩ</t>
  </si>
  <si>
    <t>https://lcsc.com/eda_search?q=C138017&amp;%26type=1&amp;ref=editor</t>
  </si>
  <si>
    <t>CONN-TH_DB125-2.54-2P-GN</t>
  </si>
  <si>
    <t>U120,U122,U128,U129,U105,U104,U98,U96</t>
  </si>
  <si>
    <t>DB125-2.54-2P-GN-S</t>
  </si>
  <si>
    <t>DORABO(地博电气)</t>
  </si>
  <si>
    <t>C918120</t>
  </si>
  <si>
    <t>https://lcsc.com/eda_search?q=C918120&amp;%26type=1&amp;ref=editor</t>
  </si>
  <si>
    <t>1k</t>
  </si>
  <si>
    <t>R65,R66,R67,R68,R69,R70,R71,R72,R37,R38,R39,R40,R27,R28,R36,R29</t>
  </si>
  <si>
    <t>RC0402FR-071K07L</t>
  </si>
  <si>
    <t>C477186</t>
  </si>
  <si>
    <t>TSSOP-20_L6.5-W4.4-P0.65-LS6.4-BL</t>
  </si>
  <si>
    <t>U135,U5</t>
  </si>
  <si>
    <t>STM8S003F3P6</t>
  </si>
  <si>
    <t>ST(意法半导体)</t>
  </si>
  <si>
    <t>C18615</t>
  </si>
  <si>
    <t>TSSOP-20_L6.5-W4.4-H1.0-LS6.4-P0.65</t>
  </si>
  <si>
    <t>https://lcsc.com/eda_search?q=C18615&amp;%26type=1&amp;ref=editor</t>
  </si>
  <si>
    <t>RES-ADJ-SMD_GT-EVA01AA-L1</t>
  </si>
  <si>
    <t>U136,U137,U112,U111</t>
  </si>
  <si>
    <t>GT-EVA01AA-L1</t>
  </si>
  <si>
    <t>G-Switch(品赞)</t>
  </si>
  <si>
    <t>C17702124</t>
  </si>
  <si>
    <t>https://lcsc.com/eda_search?q=C17702124&amp;%26type=1&amp;ref=editor</t>
  </si>
  <si>
    <t>LED-SMD_4P-L2.0-W2.0-TL_WS2812B-2020</t>
  </si>
  <si>
    <t>LED4,LED5,LED6,LED7,LED3,LED2,LED0,LED1</t>
  </si>
  <si>
    <t>WS2812B-2020</t>
  </si>
  <si>
    <t>worldsemi</t>
  </si>
  <si>
    <t>C965555</t>
  </si>
  <si>
    <t>LED-SMD_4P-L2.0-W2.0-H0.8-TL_WS2812B-2020</t>
  </si>
  <si>
    <t>https://lcsc.com/eda_search?q=C965555&amp;%26type=1&amp;ref=editor</t>
  </si>
  <si>
    <t>I2C_PINS</t>
  </si>
  <si>
    <t>I3C,I2C</t>
  </si>
  <si>
    <t>Board</t>
  </si>
  <si>
    <t>MM2 Tile</t>
  </si>
  <si>
    <t>EncJoyLed</t>
  </si>
  <si>
    <t>47uF</t>
  </si>
  <si>
    <t>C17,C13</t>
  </si>
  <si>
    <t>GRM188R60J476ME15D</t>
  </si>
  <si>
    <t>C140782</t>
  </si>
  <si>
    <t>430Ω</t>
  </si>
  <si>
    <t>R1</t>
  </si>
  <si>
    <t>RC0402FR-07430RL</t>
  </si>
  <si>
    <t>C163462</t>
  </si>
  <si>
    <t>PZ254V-11-05P</t>
  </si>
  <si>
    <t>J2,J3,J1</t>
  </si>
  <si>
    <t>HDR-TH_5P-P2.54-V-M</t>
  </si>
  <si>
    <t>XFCN(兴飞)</t>
  </si>
  <si>
    <t>C492404</t>
  </si>
  <si>
    <t>HDR-TH_5P-P2.54-M-LI-1X5P</t>
  </si>
  <si>
    <t>https://item.szlcsc.com/502960.html</t>
  </si>
  <si>
    <t>TS-1187A-B-A-B</t>
  </si>
  <si>
    <t>SW11,SW12,SW13,SW14</t>
  </si>
  <si>
    <t>SW-SMD_4P-L5.1-W5.1-P3.70-LS6.5-TL_H1.5</t>
  </si>
  <si>
    <t>C318884</t>
  </si>
  <si>
    <t>https://item.szlcsc.com/datasheet/TS-1187A-C-6.0-B/299982.html</t>
  </si>
  <si>
    <t>XL-1010RGBC-WS2812B</t>
  </si>
  <si>
    <t>LED1,LED3,LED2,LED6,LED8,LED9,LED7,LED4,LED5,LED10</t>
  </si>
  <si>
    <t>LED-SMD_4P-L1.0-W1.0-TL_XL-1010RGBC-WS2812B</t>
  </si>
  <si>
    <t>C5349953</t>
  </si>
  <si>
    <t>https://atta.szlcsc.com/upload/public/pdf/source/20230111/7F92487BABF607E2EE42D1D66EFE1A21.pdf</t>
  </si>
  <si>
    <t>EC111012000Y</t>
  </si>
  <si>
    <t>SW1,SW2,SW3,SW4,SW5,SW6,SW7,SW8,SW9,SW10</t>
  </si>
  <si>
    <t>SW-TH_EC111012000Y</t>
  </si>
  <si>
    <t>ALPSALPINE(阿尔卑斯阿尔派)</t>
  </si>
  <si>
    <t>C2687280</t>
  </si>
  <si>
    <t>https://item.szlcsc.com/2790914.html</t>
  </si>
  <si>
    <t>A100UP-ZD5P</t>
  </si>
  <si>
    <t>H7,H8,H1,H2,H3</t>
  </si>
  <si>
    <t>HDR-TH_5P-P1.00-V-M</t>
  </si>
  <si>
    <t>BXCONN(宝讯)</t>
  </si>
  <si>
    <t>C32713048</t>
  </si>
  <si>
    <t>https://atta.szlcsc.com/upload/public/pdf/source/20240522/2423384D6D82CB7CC3386514066C99BA.pdf</t>
  </si>
  <si>
    <t>PZ254V-11-04P</t>
  </si>
  <si>
    <t>H9</t>
  </si>
  <si>
    <t>HDR-TH_4P-P2.54-V-M</t>
  </si>
  <si>
    <t>C492403</t>
  </si>
  <si>
    <t>HDR-TH_4P-P2.54-M-LI-1X4P</t>
  </si>
  <si>
    <t>https://item.szlcsc.com/502959.html</t>
  </si>
  <si>
    <t>100nF</t>
  </si>
  <si>
    <t>C14,C1,C2,C3,C4,C5,C6,C7,C8,C9,C10,C11,C12,C15</t>
  </si>
  <si>
    <t>CC0402JRX7R8BB104</t>
  </si>
  <si>
    <t>C541465</t>
  </si>
  <si>
    <t>1uF</t>
  </si>
  <si>
    <t>C16</t>
  </si>
  <si>
    <t>51kΩ</t>
  </si>
  <si>
    <t>R2</t>
  </si>
  <si>
    <t>RC0402FR-0751KL</t>
  </si>
  <si>
    <t>C107229</t>
  </si>
  <si>
    <t>STM8S005C6T6TR</t>
  </si>
  <si>
    <t>U1</t>
  </si>
  <si>
    <t>LQFP-48_L7.0-W7.0-P0.50-LS9.0-TL</t>
  </si>
  <si>
    <t>C169262</t>
  </si>
  <si>
    <t>LQFP-48_L7.0-W7.0-H1.4-LS9.0-P0.50</t>
  </si>
  <si>
    <t>https://atta.szlcsc.com/upload/public/pdf/source/20160823/1471947494657.pdf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</si>
</sst>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lcsc.com/eda_search?q=C37704&amp;%26type=1&amp;ref=editor" TargetMode="External"/><Relationship Id="rId18" Type="http://schemas.openxmlformats.org/officeDocument/2006/relationships/hyperlink" Target="https://item.szlcsc.com/323315.html" TargetMode="External"/><Relationship Id="rId26" Type="http://schemas.openxmlformats.org/officeDocument/2006/relationships/hyperlink" Target="https://atta.szlcsc.com/upload/public/pdf/source/20230111/7F92487BABF607E2EE42D1D66EFE1A21.pdf" TargetMode="External"/><Relationship Id="rId3" Type="http://schemas.openxmlformats.org/officeDocument/2006/relationships/hyperlink" Target="https://item.szlcsc.com/362304.html" TargetMode="External"/><Relationship Id="rId21" Type="http://schemas.openxmlformats.org/officeDocument/2006/relationships/hyperlink" Target="https://lcsc.com/eda_search?q=C965555&amp;%26type=1&amp;ref=editor" TargetMode="External"/><Relationship Id="rId7" Type="http://schemas.openxmlformats.org/officeDocument/2006/relationships/hyperlink" Target="https://item.szlcsc.com/81642.html" TargetMode="External"/><Relationship Id="rId12" Type="http://schemas.openxmlformats.org/officeDocument/2006/relationships/hyperlink" Target="https://item.szlcsc.com/15869.html" TargetMode="External"/><Relationship Id="rId17" Type="http://schemas.openxmlformats.org/officeDocument/2006/relationships/hyperlink" Target="https://lcsc.com/eda_search?q=C918120&amp;%26type=1&amp;ref=editor" TargetMode="External"/><Relationship Id="rId25" Type="http://schemas.openxmlformats.org/officeDocument/2006/relationships/hyperlink" Target="https://item.szlcsc.com/datasheet/TS-1187A-C-6.0-B/299982.html" TargetMode="External"/><Relationship Id="rId33" Type="http://schemas.openxmlformats.org/officeDocument/2006/relationships/hyperlink" Target="https://atta.szlcsc.com/upload/public/pdf/source/20160823/1471947494657.pdf" TargetMode="External"/><Relationship Id="rId2" Type="http://schemas.openxmlformats.org/officeDocument/2006/relationships/hyperlink" Target="https://lcsc.com/eda_search?q=C108661&amp;%26type=1&amp;ref=editor" TargetMode="External"/><Relationship Id="rId16" Type="http://schemas.openxmlformats.org/officeDocument/2006/relationships/hyperlink" Target="https://lcsc.com/eda_search?q=C138017&amp;%26type=1&amp;ref=editor" TargetMode="External"/><Relationship Id="rId20" Type="http://schemas.openxmlformats.org/officeDocument/2006/relationships/hyperlink" Target="https://lcsc.com/eda_search?q=C17702124&amp;%26type=1&amp;ref=editor" TargetMode="External"/><Relationship Id="rId29" Type="http://schemas.openxmlformats.org/officeDocument/2006/relationships/hyperlink" Target="https://item.szlcsc.com/502959.html" TargetMode="External"/><Relationship Id="rId1" Type="http://schemas.openxmlformats.org/officeDocument/2006/relationships/hyperlink" Target="https://item.szlcsc.com/15869.html" TargetMode="External"/><Relationship Id="rId6" Type="http://schemas.openxmlformats.org/officeDocument/2006/relationships/hyperlink" Target="https://lcsc.com/eda_search?q=C231329&amp;%26type=1&amp;ref=editor" TargetMode="External"/><Relationship Id="rId11" Type="http://schemas.openxmlformats.org/officeDocument/2006/relationships/hyperlink" Target="https://item.szlcsc.com/15869.html" TargetMode="External"/><Relationship Id="rId24" Type="http://schemas.openxmlformats.org/officeDocument/2006/relationships/hyperlink" Target="https://item.szlcsc.com/502960.html" TargetMode="External"/><Relationship Id="rId32" Type="http://schemas.openxmlformats.org/officeDocument/2006/relationships/hyperlink" Target="https://item.szlcsc.com/323315.html" TargetMode="External"/><Relationship Id="rId5" Type="http://schemas.openxmlformats.org/officeDocument/2006/relationships/hyperlink" Target="https://lcsc.com/eda_search?q=C2689690&amp;%26type=1&amp;ref=editor" TargetMode="External"/><Relationship Id="rId15" Type="http://schemas.openxmlformats.org/officeDocument/2006/relationships/hyperlink" Target="https://lcsc.com/eda_search?q=C965799&amp;%26type=1&amp;ref=editor" TargetMode="External"/><Relationship Id="rId23" Type="http://schemas.openxmlformats.org/officeDocument/2006/relationships/hyperlink" Target="https://item.szlcsc.com/323315.html" TargetMode="External"/><Relationship Id="rId28" Type="http://schemas.openxmlformats.org/officeDocument/2006/relationships/hyperlink" Target="https://atta.szlcsc.com/upload/public/pdf/source/20240522/2423384D6D82CB7CC3386514066C99BA.pdf" TargetMode="External"/><Relationship Id="rId10" Type="http://schemas.openxmlformats.org/officeDocument/2006/relationships/hyperlink" Target="https://item.szlcsc.com/323315.html" TargetMode="External"/><Relationship Id="rId19" Type="http://schemas.openxmlformats.org/officeDocument/2006/relationships/hyperlink" Target="https://lcsc.com/eda_search?q=C18615&amp;%26type=1&amp;ref=editor" TargetMode="External"/><Relationship Id="rId31" Type="http://schemas.openxmlformats.org/officeDocument/2006/relationships/hyperlink" Target="https://item.szlcsc.com/15869.html" TargetMode="External"/><Relationship Id="rId4" Type="http://schemas.openxmlformats.org/officeDocument/2006/relationships/hyperlink" Target="https://item.szlcsc.com/84517.html" TargetMode="External"/><Relationship Id="rId9" Type="http://schemas.openxmlformats.org/officeDocument/2006/relationships/hyperlink" Target="https://item.szlcsc.com/15869.html" TargetMode="External"/><Relationship Id="rId14" Type="http://schemas.openxmlformats.org/officeDocument/2006/relationships/hyperlink" Target="https://lcsc.com/eda_search?q=C25804&amp;%26type=1&amp;ref=editor" TargetMode="External"/><Relationship Id="rId22" Type="http://schemas.openxmlformats.org/officeDocument/2006/relationships/hyperlink" Target="https://item.szlcsc.com/362304.html" TargetMode="External"/><Relationship Id="rId27" Type="http://schemas.openxmlformats.org/officeDocument/2006/relationships/hyperlink" Target="https://item.szlcsc.com/2790914.html" TargetMode="External"/><Relationship Id="rId30" Type="http://schemas.openxmlformats.org/officeDocument/2006/relationships/hyperlink" Target="https://item.szlcsc.com/15869.html" TargetMode="External"/><Relationship Id="rId8" Type="http://schemas.openxmlformats.org/officeDocument/2006/relationships/hyperlink" Target="https://item.szlcsc.com/1586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3067E-9885-45BA-8190-3D54DCC87826}">
  <dimension ref="A1:W41"/>
  <sheetViews>
    <sheetView tabSelected="1" topLeftCell="P25" workbookViewId="0">
      <selection activeCell="W41" sqref="W41"/>
    </sheetView>
  </sheetViews>
  <sheetFormatPr defaultRowHeight="14.25" x14ac:dyDescent="0.45"/>
  <sheetData>
    <row r="1" spans="1:23" x14ac:dyDescent="0.45">
      <c r="A1" t="s">
        <v>161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23" x14ac:dyDescent="0.45">
      <c r="A2" t="s">
        <v>162</v>
      </c>
      <c r="B2">
        <v>1</v>
      </c>
      <c r="C2" t="s">
        <v>17</v>
      </c>
      <c r="D2" t="s">
        <v>18</v>
      </c>
      <c r="L2">
        <v>21</v>
      </c>
      <c r="W2" t="str">
        <f>IF(NOT(ISBLANK(J2)),HYPERLINK("https://lcsc.com/eda_search?q="&amp;J2&amp;"&amp;%26type=1&amp;ref=editor",J2),"")</f>
        <v/>
      </c>
    </row>
    <row r="3" spans="1:23" x14ac:dyDescent="0.45">
      <c r="A3" t="s">
        <v>162</v>
      </c>
      <c r="B3">
        <v>2</v>
      </c>
      <c r="C3" t="s">
        <v>19</v>
      </c>
      <c r="D3" t="s">
        <v>20</v>
      </c>
      <c r="E3" t="s">
        <v>21</v>
      </c>
      <c r="F3">
        <v>34</v>
      </c>
      <c r="G3" t="s">
        <v>22</v>
      </c>
      <c r="H3" t="s">
        <v>23</v>
      </c>
      <c r="I3" t="s">
        <v>24</v>
      </c>
      <c r="J3" t="s">
        <v>25</v>
      </c>
      <c r="K3">
        <v>4.0000000000000001E-3</v>
      </c>
      <c r="L3">
        <v>2</v>
      </c>
      <c r="M3" t="s">
        <v>26</v>
      </c>
      <c r="N3" t="s">
        <v>27</v>
      </c>
      <c r="R3" s="1" t="s">
        <v>28</v>
      </c>
      <c r="W3" t="str">
        <f t="shared" ref="W3:W41" si="0">IF(NOT(ISBLANK(J3)),HYPERLINK("https://lcsc.com/eda_search?q="&amp;J3&amp;"&amp;%26type=1&amp;ref=editor",J3),"")</f>
        <v>C307332</v>
      </c>
    </row>
    <row r="4" spans="1:23" x14ac:dyDescent="0.45">
      <c r="A4" t="s">
        <v>162</v>
      </c>
      <c r="B4">
        <v>3</v>
      </c>
      <c r="C4" t="s">
        <v>29</v>
      </c>
      <c r="D4" t="s">
        <v>30</v>
      </c>
      <c r="E4" t="s">
        <v>29</v>
      </c>
      <c r="F4">
        <v>14</v>
      </c>
      <c r="G4" t="s">
        <v>31</v>
      </c>
      <c r="H4" t="s">
        <v>32</v>
      </c>
      <c r="I4" t="s">
        <v>24</v>
      </c>
      <c r="J4" t="s">
        <v>33</v>
      </c>
      <c r="K4">
        <v>1E-3</v>
      </c>
      <c r="L4">
        <v>2</v>
      </c>
      <c r="M4" t="s">
        <v>29</v>
      </c>
      <c r="N4" t="s">
        <v>34</v>
      </c>
      <c r="O4" t="s">
        <v>35</v>
      </c>
      <c r="Q4" t="s">
        <v>36</v>
      </c>
      <c r="R4" s="1" t="s">
        <v>37</v>
      </c>
      <c r="W4" t="str">
        <f t="shared" si="0"/>
        <v>C108661</v>
      </c>
    </row>
    <row r="5" spans="1:23" x14ac:dyDescent="0.45">
      <c r="A5" t="s">
        <v>162</v>
      </c>
      <c r="B5">
        <v>4</v>
      </c>
      <c r="C5" t="s">
        <v>38</v>
      </c>
      <c r="D5" t="s">
        <v>39</v>
      </c>
      <c r="E5" t="s">
        <v>40</v>
      </c>
      <c r="F5">
        <v>8</v>
      </c>
      <c r="G5" t="s">
        <v>41</v>
      </c>
      <c r="H5" t="s">
        <v>23</v>
      </c>
      <c r="I5" t="s">
        <v>24</v>
      </c>
      <c r="J5" t="s">
        <v>42</v>
      </c>
      <c r="K5">
        <v>1.6E-2</v>
      </c>
      <c r="L5">
        <v>2</v>
      </c>
      <c r="M5" t="s">
        <v>43</v>
      </c>
      <c r="N5" t="s">
        <v>27</v>
      </c>
      <c r="P5" t="s">
        <v>44</v>
      </c>
      <c r="R5" s="1" t="s">
        <v>45</v>
      </c>
      <c r="W5" t="str">
        <f t="shared" si="0"/>
        <v>C170149</v>
      </c>
    </row>
    <row r="6" spans="1:23" x14ac:dyDescent="0.45">
      <c r="A6" t="s">
        <v>162</v>
      </c>
      <c r="B6">
        <v>5</v>
      </c>
      <c r="C6" t="s">
        <v>46</v>
      </c>
      <c r="D6" t="s">
        <v>47</v>
      </c>
      <c r="E6" t="s">
        <v>48</v>
      </c>
      <c r="F6">
        <v>2</v>
      </c>
      <c r="G6" t="s">
        <v>46</v>
      </c>
      <c r="H6" t="s">
        <v>49</v>
      </c>
      <c r="I6" t="s">
        <v>24</v>
      </c>
      <c r="J6" t="s">
        <v>50</v>
      </c>
      <c r="K6">
        <v>0.04</v>
      </c>
      <c r="L6">
        <v>4</v>
      </c>
      <c r="M6" t="s">
        <v>51</v>
      </c>
      <c r="N6" t="s">
        <v>34</v>
      </c>
      <c r="O6" t="s">
        <v>35</v>
      </c>
      <c r="R6" s="1" t="s">
        <v>52</v>
      </c>
      <c r="W6" t="str">
        <f t="shared" si="0"/>
        <v>C5346135</v>
      </c>
    </row>
    <row r="7" spans="1:23" x14ac:dyDescent="0.45">
      <c r="A7" t="s">
        <v>162</v>
      </c>
      <c r="B7">
        <v>6</v>
      </c>
      <c r="C7" t="s">
        <v>53</v>
      </c>
      <c r="D7" t="s">
        <v>54</v>
      </c>
      <c r="E7" t="s">
        <v>53</v>
      </c>
      <c r="F7">
        <v>28</v>
      </c>
      <c r="G7" t="s">
        <v>55</v>
      </c>
      <c r="H7" t="s">
        <v>56</v>
      </c>
      <c r="I7" t="s">
        <v>24</v>
      </c>
      <c r="J7" t="s">
        <v>57</v>
      </c>
      <c r="K7">
        <v>5.5E-2</v>
      </c>
      <c r="L7">
        <v>3</v>
      </c>
      <c r="M7" t="s">
        <v>53</v>
      </c>
      <c r="N7" t="s">
        <v>24</v>
      </c>
      <c r="O7" t="s">
        <v>35</v>
      </c>
      <c r="R7" s="1" t="s">
        <v>58</v>
      </c>
      <c r="W7" t="str">
        <f t="shared" si="0"/>
        <v>C2689690</v>
      </c>
    </row>
    <row r="8" spans="1:23" x14ac:dyDescent="0.45">
      <c r="A8" t="s">
        <v>162</v>
      </c>
      <c r="B8">
        <v>7</v>
      </c>
      <c r="C8" t="s">
        <v>59</v>
      </c>
      <c r="D8" t="s">
        <v>60</v>
      </c>
      <c r="E8" t="s">
        <v>59</v>
      </c>
      <c r="F8">
        <v>8</v>
      </c>
      <c r="G8" t="s">
        <v>61</v>
      </c>
      <c r="H8" t="s">
        <v>62</v>
      </c>
      <c r="I8" t="s">
        <v>24</v>
      </c>
      <c r="J8" t="s">
        <v>63</v>
      </c>
      <c r="K8">
        <v>0.155</v>
      </c>
      <c r="L8">
        <v>2</v>
      </c>
      <c r="M8" t="s">
        <v>64</v>
      </c>
      <c r="N8" t="s">
        <v>65</v>
      </c>
      <c r="O8" t="s">
        <v>35</v>
      </c>
      <c r="R8" s="1" t="s">
        <v>66</v>
      </c>
      <c r="W8" t="str">
        <f t="shared" si="0"/>
        <v>C231329</v>
      </c>
    </row>
    <row r="9" spans="1:23" x14ac:dyDescent="0.45">
      <c r="A9" t="s">
        <v>162</v>
      </c>
      <c r="B9">
        <v>8</v>
      </c>
      <c r="C9" t="s">
        <v>67</v>
      </c>
      <c r="D9" t="s">
        <v>68</v>
      </c>
      <c r="L9">
        <v>7</v>
      </c>
      <c r="W9" t="str">
        <f t="shared" si="0"/>
        <v/>
      </c>
    </row>
    <row r="10" spans="1:23" x14ac:dyDescent="0.45">
      <c r="A10" t="s">
        <v>162</v>
      </c>
      <c r="B10">
        <v>9</v>
      </c>
      <c r="C10" t="s">
        <v>69</v>
      </c>
      <c r="D10" t="s">
        <v>70</v>
      </c>
      <c r="L10">
        <v>6</v>
      </c>
      <c r="W10" t="str">
        <f t="shared" si="0"/>
        <v/>
      </c>
    </row>
    <row r="11" spans="1:23" x14ac:dyDescent="0.45">
      <c r="A11" t="s">
        <v>162</v>
      </c>
      <c r="B11">
        <v>10</v>
      </c>
      <c r="C11" t="s">
        <v>71</v>
      </c>
      <c r="D11" t="s">
        <v>72</v>
      </c>
      <c r="L11">
        <v>19</v>
      </c>
      <c r="W11" t="str">
        <f t="shared" si="0"/>
        <v/>
      </c>
    </row>
    <row r="12" spans="1:23" x14ac:dyDescent="0.45">
      <c r="A12" t="s">
        <v>162</v>
      </c>
      <c r="B12">
        <v>11</v>
      </c>
      <c r="C12" t="s">
        <v>73</v>
      </c>
      <c r="D12" t="s">
        <v>74</v>
      </c>
      <c r="E12" t="s">
        <v>75</v>
      </c>
      <c r="F12">
        <v>4</v>
      </c>
      <c r="G12" t="s">
        <v>73</v>
      </c>
      <c r="H12" t="s">
        <v>76</v>
      </c>
      <c r="I12" t="s">
        <v>24</v>
      </c>
      <c r="J12" t="s">
        <v>77</v>
      </c>
      <c r="K12">
        <v>1.776</v>
      </c>
      <c r="L12">
        <v>33</v>
      </c>
      <c r="M12" t="s">
        <v>78</v>
      </c>
      <c r="N12" t="s">
        <v>34</v>
      </c>
      <c r="O12" t="s">
        <v>35</v>
      </c>
      <c r="R12" s="1" t="s">
        <v>79</v>
      </c>
      <c r="W12" t="str">
        <f t="shared" si="0"/>
        <v>C58566</v>
      </c>
    </row>
    <row r="13" spans="1:23" x14ac:dyDescent="0.45">
      <c r="A13" t="s">
        <v>162</v>
      </c>
      <c r="B13">
        <v>12</v>
      </c>
      <c r="C13" t="s">
        <v>80</v>
      </c>
      <c r="D13" t="s">
        <v>81</v>
      </c>
      <c r="E13" t="s">
        <v>21</v>
      </c>
      <c r="F13">
        <v>18</v>
      </c>
      <c r="G13" t="s">
        <v>82</v>
      </c>
      <c r="H13" t="s">
        <v>83</v>
      </c>
      <c r="I13" t="s">
        <v>24</v>
      </c>
      <c r="J13" t="s">
        <v>84</v>
      </c>
      <c r="K13">
        <v>1.6E-2</v>
      </c>
      <c r="L13">
        <v>2</v>
      </c>
      <c r="M13" t="s">
        <v>26</v>
      </c>
      <c r="N13" t="s">
        <v>27</v>
      </c>
      <c r="R13" s="1" t="s">
        <v>28</v>
      </c>
      <c r="W13" t="str">
        <f t="shared" si="0"/>
        <v>C6119811</v>
      </c>
    </row>
    <row r="14" spans="1:23" x14ac:dyDescent="0.45">
      <c r="A14" t="s">
        <v>162</v>
      </c>
      <c r="B14">
        <v>13</v>
      </c>
      <c r="C14" t="s">
        <v>85</v>
      </c>
      <c r="D14" t="s">
        <v>86</v>
      </c>
      <c r="E14" t="s">
        <v>21</v>
      </c>
      <c r="F14">
        <v>4</v>
      </c>
      <c r="G14" t="s">
        <v>87</v>
      </c>
      <c r="H14" t="s">
        <v>88</v>
      </c>
      <c r="I14" t="s">
        <v>24</v>
      </c>
      <c r="J14" t="s">
        <v>89</v>
      </c>
      <c r="K14">
        <v>8.0000000000000002E-3</v>
      </c>
      <c r="L14">
        <v>2</v>
      </c>
      <c r="M14" t="s">
        <v>26</v>
      </c>
      <c r="N14" t="s">
        <v>27</v>
      </c>
      <c r="R14" s="1" t="s">
        <v>28</v>
      </c>
      <c r="W14" t="str">
        <f t="shared" si="0"/>
        <v>C161534</v>
      </c>
    </row>
    <row r="15" spans="1:23" x14ac:dyDescent="0.45">
      <c r="A15" t="s">
        <v>162</v>
      </c>
      <c r="B15">
        <v>14</v>
      </c>
      <c r="C15" t="s">
        <v>90</v>
      </c>
      <c r="D15" t="s">
        <v>91</v>
      </c>
      <c r="E15" t="s">
        <v>92</v>
      </c>
      <c r="F15">
        <v>4</v>
      </c>
      <c r="G15" t="s">
        <v>93</v>
      </c>
      <c r="H15" t="s">
        <v>32</v>
      </c>
      <c r="I15" t="s">
        <v>24</v>
      </c>
      <c r="J15" t="s">
        <v>94</v>
      </c>
      <c r="K15">
        <v>1E-3</v>
      </c>
      <c r="L15">
        <v>2</v>
      </c>
      <c r="M15" t="s">
        <v>95</v>
      </c>
      <c r="N15" t="s">
        <v>27</v>
      </c>
      <c r="R15" s="1" t="s">
        <v>96</v>
      </c>
      <c r="W15" t="str">
        <f t="shared" si="0"/>
        <v>C138017</v>
      </c>
    </row>
    <row r="16" spans="1:23" x14ac:dyDescent="0.45">
      <c r="A16" t="s">
        <v>162</v>
      </c>
      <c r="B16">
        <v>15</v>
      </c>
      <c r="C16" t="s">
        <v>97</v>
      </c>
      <c r="D16" t="s">
        <v>98</v>
      </c>
      <c r="E16" t="s">
        <v>21</v>
      </c>
      <c r="F16">
        <v>4</v>
      </c>
      <c r="G16" t="s">
        <v>99</v>
      </c>
      <c r="H16" t="s">
        <v>23</v>
      </c>
      <c r="I16" t="s">
        <v>24</v>
      </c>
      <c r="J16" t="s">
        <v>100</v>
      </c>
      <c r="K16">
        <v>4.0000000000000001E-3</v>
      </c>
      <c r="L16">
        <v>2</v>
      </c>
      <c r="M16" t="s">
        <v>26</v>
      </c>
      <c r="N16" t="s">
        <v>27</v>
      </c>
      <c r="P16" t="s">
        <v>44</v>
      </c>
      <c r="R16" s="1" t="s">
        <v>28</v>
      </c>
      <c r="W16" t="str">
        <f t="shared" si="0"/>
        <v>C15525</v>
      </c>
    </row>
    <row r="17" spans="1:23" x14ac:dyDescent="0.45">
      <c r="A17" t="s">
        <v>162</v>
      </c>
      <c r="B17">
        <v>16</v>
      </c>
      <c r="C17" t="s">
        <v>19</v>
      </c>
      <c r="D17" t="s">
        <v>101</v>
      </c>
      <c r="E17" t="s">
        <v>21</v>
      </c>
      <c r="F17">
        <v>8</v>
      </c>
      <c r="G17" t="s">
        <v>22</v>
      </c>
      <c r="H17" t="s">
        <v>23</v>
      </c>
      <c r="I17" t="s">
        <v>24</v>
      </c>
      <c r="J17" t="s">
        <v>25</v>
      </c>
      <c r="K17">
        <v>4.0000000000000001E-3</v>
      </c>
      <c r="L17">
        <v>2</v>
      </c>
      <c r="M17" t="s">
        <v>26</v>
      </c>
      <c r="N17" t="s">
        <v>27</v>
      </c>
      <c r="P17" t="s">
        <v>44</v>
      </c>
      <c r="R17" s="1" t="s">
        <v>28</v>
      </c>
      <c r="W17" t="str">
        <f t="shared" si="0"/>
        <v>C307332</v>
      </c>
    </row>
    <row r="18" spans="1:23" x14ac:dyDescent="0.45">
      <c r="A18" t="s">
        <v>162</v>
      </c>
      <c r="B18">
        <v>17</v>
      </c>
      <c r="C18" t="s">
        <v>102</v>
      </c>
      <c r="D18" t="s">
        <v>103</v>
      </c>
      <c r="E18" t="s">
        <v>102</v>
      </c>
      <c r="F18">
        <v>2</v>
      </c>
      <c r="G18" t="s">
        <v>104</v>
      </c>
      <c r="H18" t="s">
        <v>105</v>
      </c>
      <c r="I18" t="s">
        <v>24</v>
      </c>
      <c r="J18" t="s">
        <v>106</v>
      </c>
      <c r="K18">
        <v>0.01</v>
      </c>
      <c r="L18">
        <v>3</v>
      </c>
      <c r="M18" t="s">
        <v>107</v>
      </c>
      <c r="N18" t="s">
        <v>34</v>
      </c>
      <c r="O18" t="s">
        <v>35</v>
      </c>
      <c r="R18" s="1" t="s">
        <v>108</v>
      </c>
      <c r="W18" t="str">
        <f t="shared" si="0"/>
        <v>C37704</v>
      </c>
    </row>
    <row r="19" spans="1:23" x14ac:dyDescent="0.45">
      <c r="A19" t="s">
        <v>162</v>
      </c>
      <c r="B19">
        <v>18</v>
      </c>
      <c r="C19" t="s">
        <v>109</v>
      </c>
      <c r="D19" t="s">
        <v>110</v>
      </c>
      <c r="L19">
        <v>4</v>
      </c>
      <c r="W19" t="str">
        <f t="shared" si="0"/>
        <v/>
      </c>
    </row>
    <row r="20" spans="1:23" x14ac:dyDescent="0.45">
      <c r="A20" t="s">
        <v>162</v>
      </c>
      <c r="B20">
        <v>19</v>
      </c>
      <c r="C20" t="s">
        <v>111</v>
      </c>
      <c r="D20" t="s">
        <v>112</v>
      </c>
      <c r="L20">
        <v>23</v>
      </c>
      <c r="W20" t="str">
        <f t="shared" si="0"/>
        <v/>
      </c>
    </row>
    <row r="21" spans="1:23" x14ac:dyDescent="0.45">
      <c r="A21" t="s">
        <v>162</v>
      </c>
      <c r="B21">
        <v>20</v>
      </c>
      <c r="C21" t="s">
        <v>29</v>
      </c>
      <c r="D21" t="s">
        <v>113</v>
      </c>
      <c r="E21" t="s">
        <v>29</v>
      </c>
      <c r="F21">
        <v>26</v>
      </c>
      <c r="G21" t="s">
        <v>114</v>
      </c>
      <c r="H21" t="s">
        <v>115</v>
      </c>
      <c r="I21" t="s">
        <v>24</v>
      </c>
      <c r="J21" t="s">
        <v>116</v>
      </c>
      <c r="K21">
        <v>1E-3</v>
      </c>
      <c r="L21">
        <v>2</v>
      </c>
      <c r="M21" t="s">
        <v>29</v>
      </c>
      <c r="N21" t="s">
        <v>34</v>
      </c>
      <c r="O21" t="s">
        <v>117</v>
      </c>
      <c r="Q21" t="s">
        <v>118</v>
      </c>
      <c r="R21" s="1" t="s">
        <v>119</v>
      </c>
      <c r="W21" t="str">
        <f t="shared" si="0"/>
        <v>C25804</v>
      </c>
    </row>
    <row r="22" spans="1:23" x14ac:dyDescent="0.45">
      <c r="A22" t="s">
        <v>162</v>
      </c>
      <c r="B22">
        <v>21</v>
      </c>
      <c r="C22" t="s">
        <v>120</v>
      </c>
      <c r="D22" t="s">
        <v>121</v>
      </c>
      <c r="E22" t="s">
        <v>120</v>
      </c>
      <c r="F22">
        <v>4</v>
      </c>
      <c r="G22" t="s">
        <v>122</v>
      </c>
      <c r="H22" t="s">
        <v>123</v>
      </c>
      <c r="I22" t="s">
        <v>24</v>
      </c>
      <c r="J22" t="s">
        <v>124</v>
      </c>
      <c r="K22">
        <v>3.0000000000000001E-3</v>
      </c>
      <c r="L22">
        <v>2</v>
      </c>
      <c r="M22" t="s">
        <v>120</v>
      </c>
      <c r="N22" t="s">
        <v>34</v>
      </c>
      <c r="O22" t="s">
        <v>35</v>
      </c>
      <c r="R22" s="1" t="s">
        <v>125</v>
      </c>
      <c r="W22" t="str">
        <f t="shared" si="0"/>
        <v>C965799</v>
      </c>
    </row>
    <row r="23" spans="1:23" x14ac:dyDescent="0.45">
      <c r="A23" t="s">
        <v>162</v>
      </c>
      <c r="B23">
        <v>22</v>
      </c>
      <c r="C23" t="s">
        <v>92</v>
      </c>
      <c r="D23" t="s">
        <v>126</v>
      </c>
      <c r="E23" t="s">
        <v>92</v>
      </c>
      <c r="F23">
        <v>4</v>
      </c>
      <c r="G23" t="s">
        <v>93</v>
      </c>
      <c r="H23" t="s">
        <v>32</v>
      </c>
      <c r="I23" t="s">
        <v>24</v>
      </c>
      <c r="J23" t="s">
        <v>94</v>
      </c>
      <c r="K23">
        <v>1E-3</v>
      </c>
      <c r="L23">
        <v>2</v>
      </c>
      <c r="M23" t="s">
        <v>95</v>
      </c>
      <c r="N23" t="s">
        <v>34</v>
      </c>
      <c r="O23" t="s">
        <v>35</v>
      </c>
      <c r="Q23" t="s">
        <v>127</v>
      </c>
      <c r="R23" s="1" t="s">
        <v>128</v>
      </c>
      <c r="W23" t="str">
        <f t="shared" si="0"/>
        <v>C138017</v>
      </c>
    </row>
    <row r="24" spans="1:23" x14ac:dyDescent="0.45">
      <c r="A24" t="s">
        <v>162</v>
      </c>
      <c r="B24">
        <v>23</v>
      </c>
      <c r="C24" t="s">
        <v>129</v>
      </c>
      <c r="D24" t="s">
        <v>130</v>
      </c>
      <c r="E24" t="s">
        <v>129</v>
      </c>
      <c r="F24">
        <v>8</v>
      </c>
      <c r="G24" t="s">
        <v>131</v>
      </c>
      <c r="H24" t="s">
        <v>132</v>
      </c>
      <c r="I24" t="s">
        <v>24</v>
      </c>
      <c r="J24" t="s">
        <v>133</v>
      </c>
      <c r="K24">
        <v>0.221</v>
      </c>
      <c r="L24">
        <v>2</v>
      </c>
      <c r="M24" t="s">
        <v>129</v>
      </c>
      <c r="N24" t="s">
        <v>24</v>
      </c>
      <c r="O24" t="s">
        <v>35</v>
      </c>
      <c r="R24" s="1" t="s">
        <v>134</v>
      </c>
      <c r="W24" t="str">
        <f t="shared" si="0"/>
        <v>C918120</v>
      </c>
    </row>
    <row r="25" spans="1:23" x14ac:dyDescent="0.45">
      <c r="A25" t="s">
        <v>162</v>
      </c>
      <c r="B25">
        <v>24</v>
      </c>
      <c r="C25" t="s">
        <v>135</v>
      </c>
      <c r="D25" t="s">
        <v>136</v>
      </c>
      <c r="E25" t="s">
        <v>92</v>
      </c>
      <c r="F25">
        <v>16</v>
      </c>
      <c r="G25" t="s">
        <v>137</v>
      </c>
      <c r="H25" t="s">
        <v>32</v>
      </c>
      <c r="I25" t="s">
        <v>24</v>
      </c>
      <c r="J25" t="s">
        <v>138</v>
      </c>
      <c r="L25">
        <v>2</v>
      </c>
      <c r="M25" t="s">
        <v>95</v>
      </c>
      <c r="N25" t="s">
        <v>27</v>
      </c>
      <c r="P25" t="s">
        <v>44</v>
      </c>
      <c r="R25" s="1" t="s">
        <v>96</v>
      </c>
      <c r="W25" t="str">
        <f t="shared" si="0"/>
        <v>C477186</v>
      </c>
    </row>
    <row r="26" spans="1:23" x14ac:dyDescent="0.45">
      <c r="A26" t="s">
        <v>162</v>
      </c>
      <c r="B26">
        <v>25</v>
      </c>
      <c r="C26" t="s">
        <v>139</v>
      </c>
      <c r="D26" t="s">
        <v>140</v>
      </c>
      <c r="E26" t="s">
        <v>139</v>
      </c>
      <c r="F26">
        <v>2</v>
      </c>
      <c r="G26" t="s">
        <v>141</v>
      </c>
      <c r="H26" t="s">
        <v>142</v>
      </c>
      <c r="I26" t="s">
        <v>24</v>
      </c>
      <c r="J26" t="s">
        <v>143</v>
      </c>
      <c r="K26">
        <v>0.46800000000000003</v>
      </c>
      <c r="L26">
        <v>20</v>
      </c>
      <c r="M26" t="s">
        <v>144</v>
      </c>
      <c r="N26" t="s">
        <v>34</v>
      </c>
      <c r="O26" t="s">
        <v>35</v>
      </c>
      <c r="R26" s="1" t="s">
        <v>145</v>
      </c>
      <c r="W26" t="str">
        <f t="shared" si="0"/>
        <v>C18615</v>
      </c>
    </row>
    <row r="27" spans="1:23" x14ac:dyDescent="0.45">
      <c r="A27" t="s">
        <v>162</v>
      </c>
      <c r="B27">
        <v>26</v>
      </c>
      <c r="C27" t="s">
        <v>146</v>
      </c>
      <c r="D27" t="s">
        <v>147</v>
      </c>
      <c r="E27" t="s">
        <v>146</v>
      </c>
      <c r="F27">
        <v>4</v>
      </c>
      <c r="G27" t="s">
        <v>148</v>
      </c>
      <c r="H27" t="s">
        <v>149</v>
      </c>
      <c r="I27" t="s">
        <v>24</v>
      </c>
      <c r="J27" t="s">
        <v>150</v>
      </c>
      <c r="K27">
        <v>0.34399999999999997</v>
      </c>
      <c r="L27">
        <v>7</v>
      </c>
      <c r="M27" t="s">
        <v>146</v>
      </c>
      <c r="N27" t="s">
        <v>34</v>
      </c>
      <c r="O27" t="s">
        <v>35</v>
      </c>
      <c r="R27" s="1" t="s">
        <v>151</v>
      </c>
      <c r="W27" t="str">
        <f t="shared" si="0"/>
        <v>C17702124</v>
      </c>
    </row>
    <row r="28" spans="1:23" x14ac:dyDescent="0.45">
      <c r="A28" t="s">
        <v>162</v>
      </c>
      <c r="B28">
        <v>27</v>
      </c>
      <c r="C28" t="s">
        <v>152</v>
      </c>
      <c r="D28" t="s">
        <v>153</v>
      </c>
      <c r="E28" t="s">
        <v>152</v>
      </c>
      <c r="F28">
        <v>8</v>
      </c>
      <c r="G28" t="s">
        <v>154</v>
      </c>
      <c r="H28" t="s">
        <v>155</v>
      </c>
      <c r="I28" t="s">
        <v>24</v>
      </c>
      <c r="J28" t="s">
        <v>156</v>
      </c>
      <c r="K28">
        <v>8.2000000000000003E-2</v>
      </c>
      <c r="L28">
        <v>4</v>
      </c>
      <c r="M28" t="s">
        <v>157</v>
      </c>
      <c r="N28" t="s">
        <v>34</v>
      </c>
      <c r="O28" t="s">
        <v>35</v>
      </c>
      <c r="R28" s="1" t="s">
        <v>158</v>
      </c>
      <c r="W28" t="str">
        <f t="shared" si="0"/>
        <v>C965555</v>
      </c>
    </row>
    <row r="29" spans="1:23" x14ac:dyDescent="0.45">
      <c r="A29" t="s">
        <v>162</v>
      </c>
      <c r="B29">
        <v>28</v>
      </c>
      <c r="C29" t="s">
        <v>159</v>
      </c>
      <c r="D29" t="s">
        <v>160</v>
      </c>
      <c r="L29">
        <v>4</v>
      </c>
      <c r="W29" t="str">
        <f t="shared" si="0"/>
        <v/>
      </c>
    </row>
    <row r="30" spans="1:23" x14ac:dyDescent="0.45">
      <c r="A30" t="s">
        <v>163</v>
      </c>
      <c r="B30">
        <v>1</v>
      </c>
      <c r="C30" t="s">
        <v>164</v>
      </c>
      <c r="D30" t="s">
        <v>165</v>
      </c>
      <c r="E30" t="s">
        <v>40</v>
      </c>
      <c r="F30">
        <v>2</v>
      </c>
      <c r="G30" t="s">
        <v>166</v>
      </c>
      <c r="H30" t="s">
        <v>88</v>
      </c>
      <c r="I30" t="s">
        <v>24</v>
      </c>
      <c r="J30" t="s">
        <v>167</v>
      </c>
      <c r="K30">
        <v>5.3999999999999999E-2</v>
      </c>
      <c r="L30">
        <v>2</v>
      </c>
      <c r="M30" t="s">
        <v>43</v>
      </c>
      <c r="N30" t="s">
        <v>24</v>
      </c>
      <c r="O30" t="s">
        <v>35</v>
      </c>
      <c r="R30" s="1" t="s">
        <v>45</v>
      </c>
      <c r="W30" t="str">
        <f t="shared" si="0"/>
        <v>C140782</v>
      </c>
    </row>
    <row r="31" spans="1:23" x14ac:dyDescent="0.45">
      <c r="A31" t="s">
        <v>163</v>
      </c>
      <c r="B31">
        <v>2</v>
      </c>
      <c r="C31" t="s">
        <v>168</v>
      </c>
      <c r="D31" t="s">
        <v>169</v>
      </c>
      <c r="E31" t="s">
        <v>92</v>
      </c>
      <c r="F31">
        <v>1</v>
      </c>
      <c r="G31" t="s">
        <v>170</v>
      </c>
      <c r="H31" t="s">
        <v>32</v>
      </c>
      <c r="I31" t="s">
        <v>24</v>
      </c>
      <c r="J31" t="s">
        <v>171</v>
      </c>
      <c r="K31">
        <v>1E-3</v>
      </c>
      <c r="L31">
        <v>2</v>
      </c>
      <c r="M31" t="s">
        <v>95</v>
      </c>
      <c r="N31" t="s">
        <v>24</v>
      </c>
      <c r="O31" t="s">
        <v>35</v>
      </c>
      <c r="R31" s="1" t="s">
        <v>96</v>
      </c>
      <c r="W31" t="str">
        <f t="shared" si="0"/>
        <v>C163462</v>
      </c>
    </row>
    <row r="32" spans="1:23" x14ac:dyDescent="0.45">
      <c r="A32" t="s">
        <v>163</v>
      </c>
      <c r="B32">
        <v>3</v>
      </c>
      <c r="C32" t="s">
        <v>172</v>
      </c>
      <c r="D32" t="s">
        <v>173</v>
      </c>
      <c r="E32" t="s">
        <v>174</v>
      </c>
      <c r="F32">
        <v>3</v>
      </c>
      <c r="G32" t="s">
        <v>172</v>
      </c>
      <c r="H32" t="s">
        <v>175</v>
      </c>
      <c r="I32" t="s">
        <v>24</v>
      </c>
      <c r="J32" t="s">
        <v>176</v>
      </c>
      <c r="K32">
        <v>2.8000000000000001E-2</v>
      </c>
      <c r="L32">
        <v>5</v>
      </c>
      <c r="M32" t="s">
        <v>177</v>
      </c>
      <c r="N32" t="s">
        <v>24</v>
      </c>
      <c r="O32" t="s">
        <v>35</v>
      </c>
      <c r="R32" s="1" t="s">
        <v>178</v>
      </c>
      <c r="W32" t="str">
        <f t="shared" si="0"/>
        <v>C492404</v>
      </c>
    </row>
    <row r="33" spans="1:23" x14ac:dyDescent="0.45">
      <c r="A33" t="s">
        <v>163</v>
      </c>
      <c r="B33">
        <v>4</v>
      </c>
      <c r="C33" t="s">
        <v>179</v>
      </c>
      <c r="D33" t="s">
        <v>180</v>
      </c>
      <c r="E33" t="s">
        <v>181</v>
      </c>
      <c r="F33">
        <v>4</v>
      </c>
      <c r="G33" t="s">
        <v>179</v>
      </c>
      <c r="H33" t="s">
        <v>56</v>
      </c>
      <c r="I33" t="s">
        <v>24</v>
      </c>
      <c r="J33" t="s">
        <v>182</v>
      </c>
      <c r="K33">
        <v>1.9E-2</v>
      </c>
      <c r="L33">
        <v>4</v>
      </c>
      <c r="M33" t="s">
        <v>181</v>
      </c>
      <c r="N33" t="s">
        <v>24</v>
      </c>
      <c r="O33" t="s">
        <v>117</v>
      </c>
      <c r="R33" s="1" t="s">
        <v>183</v>
      </c>
      <c r="W33" t="str">
        <f t="shared" si="0"/>
        <v>C318884</v>
      </c>
    </row>
    <row r="34" spans="1:23" x14ac:dyDescent="0.45">
      <c r="A34" t="s">
        <v>163</v>
      </c>
      <c r="B34">
        <v>5</v>
      </c>
      <c r="C34" t="s">
        <v>184</v>
      </c>
      <c r="D34" t="s">
        <v>185</v>
      </c>
      <c r="E34" t="s">
        <v>186</v>
      </c>
      <c r="F34">
        <v>10</v>
      </c>
      <c r="G34" t="s">
        <v>184</v>
      </c>
      <c r="H34" t="s">
        <v>123</v>
      </c>
      <c r="I34" t="s">
        <v>24</v>
      </c>
      <c r="J34" t="s">
        <v>187</v>
      </c>
      <c r="K34">
        <v>0.06</v>
      </c>
      <c r="L34">
        <v>4</v>
      </c>
      <c r="M34" t="s">
        <v>186</v>
      </c>
      <c r="N34" t="s">
        <v>34</v>
      </c>
      <c r="O34" t="s">
        <v>35</v>
      </c>
      <c r="R34" s="1" t="s">
        <v>188</v>
      </c>
      <c r="W34" t="str">
        <f t="shared" si="0"/>
        <v>C5349953</v>
      </c>
    </row>
    <row r="35" spans="1:23" x14ac:dyDescent="0.45">
      <c r="A35" t="s">
        <v>163</v>
      </c>
      <c r="B35">
        <v>6</v>
      </c>
      <c r="C35" t="s">
        <v>189</v>
      </c>
      <c r="D35" t="s">
        <v>190</v>
      </c>
      <c r="E35" t="s">
        <v>191</v>
      </c>
      <c r="F35">
        <v>10</v>
      </c>
      <c r="G35" t="s">
        <v>189</v>
      </c>
      <c r="H35" t="s">
        <v>192</v>
      </c>
      <c r="I35" t="s">
        <v>24</v>
      </c>
      <c r="J35" t="s">
        <v>193</v>
      </c>
      <c r="K35">
        <v>0.70799999999999996</v>
      </c>
      <c r="L35">
        <v>7</v>
      </c>
      <c r="M35" t="s">
        <v>191</v>
      </c>
      <c r="N35" t="s">
        <v>24</v>
      </c>
      <c r="O35" t="s">
        <v>35</v>
      </c>
      <c r="R35" s="1" t="s">
        <v>194</v>
      </c>
      <c r="W35" t="str">
        <f t="shared" si="0"/>
        <v>C2687280</v>
      </c>
    </row>
    <row r="36" spans="1:23" x14ac:dyDescent="0.45">
      <c r="A36" t="s">
        <v>163</v>
      </c>
      <c r="B36">
        <v>7</v>
      </c>
      <c r="C36" t="s">
        <v>195</v>
      </c>
      <c r="D36" t="s">
        <v>196</v>
      </c>
      <c r="E36" t="s">
        <v>197</v>
      </c>
      <c r="F36">
        <v>5</v>
      </c>
      <c r="G36" t="s">
        <v>195</v>
      </c>
      <c r="H36" t="s">
        <v>198</v>
      </c>
      <c r="I36" t="s">
        <v>24</v>
      </c>
      <c r="J36" t="s">
        <v>199</v>
      </c>
      <c r="K36">
        <v>5.5E-2</v>
      </c>
      <c r="L36">
        <v>5</v>
      </c>
      <c r="M36" t="s">
        <v>197</v>
      </c>
      <c r="N36" t="s">
        <v>34</v>
      </c>
      <c r="O36" t="s">
        <v>35</v>
      </c>
      <c r="R36" s="1" t="s">
        <v>200</v>
      </c>
      <c r="W36" t="str">
        <f t="shared" si="0"/>
        <v>C32713048</v>
      </c>
    </row>
    <row r="37" spans="1:23" x14ac:dyDescent="0.45">
      <c r="A37" t="s">
        <v>163</v>
      </c>
      <c r="B37">
        <v>8</v>
      </c>
      <c r="C37" t="s">
        <v>201</v>
      </c>
      <c r="D37" t="s">
        <v>202</v>
      </c>
      <c r="E37" t="s">
        <v>203</v>
      </c>
      <c r="F37">
        <v>1</v>
      </c>
      <c r="G37" t="s">
        <v>201</v>
      </c>
      <c r="H37" t="s">
        <v>175</v>
      </c>
      <c r="I37" t="s">
        <v>24</v>
      </c>
      <c r="J37" t="s">
        <v>204</v>
      </c>
      <c r="K37">
        <v>2.1999999999999999E-2</v>
      </c>
      <c r="L37">
        <v>4</v>
      </c>
      <c r="M37" t="s">
        <v>205</v>
      </c>
      <c r="N37" t="s">
        <v>24</v>
      </c>
      <c r="O37" t="s">
        <v>35</v>
      </c>
      <c r="R37" s="1" t="s">
        <v>206</v>
      </c>
      <c r="W37" t="str">
        <f t="shared" si="0"/>
        <v>C492403</v>
      </c>
    </row>
    <row r="38" spans="1:23" x14ac:dyDescent="0.45">
      <c r="A38" t="s">
        <v>163</v>
      </c>
      <c r="B38">
        <v>9</v>
      </c>
      <c r="C38" t="s">
        <v>207</v>
      </c>
      <c r="D38" t="s">
        <v>208</v>
      </c>
      <c r="E38" t="s">
        <v>21</v>
      </c>
      <c r="F38">
        <v>14</v>
      </c>
      <c r="G38" t="s">
        <v>209</v>
      </c>
      <c r="H38" t="s">
        <v>32</v>
      </c>
      <c r="I38" t="s">
        <v>24</v>
      </c>
      <c r="J38" t="s">
        <v>210</v>
      </c>
      <c r="K38">
        <v>3.0000000000000001E-3</v>
      </c>
      <c r="L38">
        <v>2</v>
      </c>
      <c r="M38" t="s">
        <v>26</v>
      </c>
      <c r="N38" t="s">
        <v>24</v>
      </c>
      <c r="O38" t="s">
        <v>35</v>
      </c>
      <c r="R38" s="1" t="s">
        <v>28</v>
      </c>
      <c r="W38" t="str">
        <f t="shared" si="0"/>
        <v>C541465</v>
      </c>
    </row>
    <row r="39" spans="1:23" x14ac:dyDescent="0.45">
      <c r="A39" t="s">
        <v>163</v>
      </c>
      <c r="B39">
        <v>10</v>
      </c>
      <c r="C39" t="s">
        <v>211</v>
      </c>
      <c r="D39" t="s">
        <v>212</v>
      </c>
      <c r="E39" t="s">
        <v>21</v>
      </c>
      <c r="F39">
        <v>1</v>
      </c>
      <c r="G39" t="s">
        <v>82</v>
      </c>
      <c r="H39" t="s">
        <v>83</v>
      </c>
      <c r="I39" t="s">
        <v>24</v>
      </c>
      <c r="J39" t="s">
        <v>84</v>
      </c>
      <c r="K39">
        <v>1.6E-2</v>
      </c>
      <c r="L39">
        <v>2</v>
      </c>
      <c r="M39" t="s">
        <v>26</v>
      </c>
      <c r="N39" t="s">
        <v>34</v>
      </c>
      <c r="R39" s="1" t="s">
        <v>28</v>
      </c>
      <c r="W39" t="str">
        <f t="shared" si="0"/>
        <v>C6119811</v>
      </c>
    </row>
    <row r="40" spans="1:23" x14ac:dyDescent="0.45">
      <c r="A40" t="s">
        <v>163</v>
      </c>
      <c r="B40">
        <v>11</v>
      </c>
      <c r="C40" t="s">
        <v>213</v>
      </c>
      <c r="D40" t="s">
        <v>214</v>
      </c>
      <c r="E40" t="s">
        <v>92</v>
      </c>
      <c r="F40">
        <v>1</v>
      </c>
      <c r="G40" t="s">
        <v>215</v>
      </c>
      <c r="H40" t="s">
        <v>32</v>
      </c>
      <c r="I40" t="s">
        <v>24</v>
      </c>
      <c r="J40" t="s">
        <v>216</v>
      </c>
      <c r="K40">
        <v>1E-3</v>
      </c>
      <c r="L40">
        <v>2</v>
      </c>
      <c r="M40" t="s">
        <v>95</v>
      </c>
      <c r="N40" t="s">
        <v>34</v>
      </c>
      <c r="O40" t="s">
        <v>35</v>
      </c>
      <c r="R40" s="1" t="s">
        <v>96</v>
      </c>
      <c r="W40" t="str">
        <f t="shared" si="0"/>
        <v>C107229</v>
      </c>
    </row>
    <row r="41" spans="1:23" x14ac:dyDescent="0.45">
      <c r="A41" t="s">
        <v>163</v>
      </c>
      <c r="B41">
        <v>12</v>
      </c>
      <c r="C41" t="s">
        <v>217</v>
      </c>
      <c r="D41" t="s">
        <v>218</v>
      </c>
      <c r="E41" t="s">
        <v>219</v>
      </c>
      <c r="F41">
        <v>1</v>
      </c>
      <c r="G41" t="s">
        <v>217</v>
      </c>
      <c r="H41" t="s">
        <v>142</v>
      </c>
      <c r="I41" t="s">
        <v>24</v>
      </c>
      <c r="J41" t="s">
        <v>220</v>
      </c>
      <c r="K41">
        <v>1.2190000000000001</v>
      </c>
      <c r="L41">
        <v>48</v>
      </c>
      <c r="M41" t="s">
        <v>221</v>
      </c>
      <c r="N41" t="s">
        <v>24</v>
      </c>
      <c r="O41" t="s">
        <v>35</v>
      </c>
      <c r="R41" s="1" t="s">
        <v>222</v>
      </c>
      <c r="W41" t="str">
        <f t="shared" si="0"/>
        <v>C169262</v>
      </c>
    </row>
  </sheetData>
  <hyperlinks>
    <hyperlink ref="R3" r:id="rId1" xr:uid="{46E6359B-2FA3-4C5A-8CFF-29DE28405630}"/>
    <hyperlink ref="R4" r:id="rId2" xr:uid="{07864F84-D024-4414-AA6B-6ED191DC58A7}"/>
    <hyperlink ref="R5" r:id="rId3" xr:uid="{B3522C7E-3527-4BE5-B861-0D504FE335EE}"/>
    <hyperlink ref="R6" r:id="rId4" xr:uid="{719857E7-3B0F-449B-B7F8-A1D67B3E159B}"/>
    <hyperlink ref="R7" r:id="rId5" xr:uid="{D6CB5FD7-B15F-4C49-B3AA-7667050E6655}"/>
    <hyperlink ref="R8" r:id="rId6" xr:uid="{46F959A0-ECE2-42FE-BE78-3EC5A297B5EE}"/>
    <hyperlink ref="R12" r:id="rId7" xr:uid="{E35972D0-12BD-419F-A6F0-8952BB05B707}"/>
    <hyperlink ref="R13" r:id="rId8" xr:uid="{C2EC5C12-64A9-4E0E-B4BB-5C23D1A3F262}"/>
    <hyperlink ref="R14" r:id="rId9" xr:uid="{CE9AA281-370B-41B1-ADBB-92F12629068B}"/>
    <hyperlink ref="R15" r:id="rId10" xr:uid="{E43851FB-B440-48AB-AC90-0EC4DDDB9FF4}"/>
    <hyperlink ref="R16" r:id="rId11" xr:uid="{B09E126E-8BCC-48B1-91CC-6F3057D252CB}"/>
    <hyperlink ref="R17" r:id="rId12" xr:uid="{38C79E87-DD33-42CC-BE30-58816FB6C70D}"/>
    <hyperlink ref="R18" r:id="rId13" xr:uid="{88C8EB59-EEEC-4F01-92E7-F22D528DA162}"/>
    <hyperlink ref="R21" r:id="rId14" xr:uid="{942694A5-6AD7-4871-9A70-D91F55CC4D8D}"/>
    <hyperlink ref="R22" r:id="rId15" xr:uid="{82BF41AB-056E-48E5-A903-A451237A8B51}"/>
    <hyperlink ref="R23" r:id="rId16" xr:uid="{FACC9AE8-AA22-4E65-AC69-29BA7BC231F4}"/>
    <hyperlink ref="R24" r:id="rId17" xr:uid="{ADEED36B-1786-49AD-A0D9-FFFAFCA19989}"/>
    <hyperlink ref="R25" r:id="rId18" xr:uid="{539E7E1F-5E1A-4C6B-A83D-F5138A153648}"/>
    <hyperlink ref="R26" r:id="rId19" xr:uid="{43B4BE55-4A03-4043-9079-35CA7185AAB7}"/>
    <hyperlink ref="R27" r:id="rId20" xr:uid="{23710890-54F2-4CD0-BBDC-2885F8B2B2AF}"/>
    <hyperlink ref="R28" r:id="rId21" xr:uid="{7BDC7361-50C5-4828-BF75-024E06370164}"/>
    <hyperlink ref="R30" r:id="rId22" xr:uid="{3E0DD6D1-5CBE-4EAF-8568-EB54F4AB3096}"/>
    <hyperlink ref="R31" r:id="rId23" xr:uid="{2BC20A88-7602-44EB-B250-A1F2394F0D84}"/>
    <hyperlink ref="R32" r:id="rId24" xr:uid="{B4CF825F-93F4-434A-AEE4-9D80069917D7}"/>
    <hyperlink ref="R33" r:id="rId25" xr:uid="{CCCA4C46-1EC5-45AC-B7E9-395536E34408}"/>
    <hyperlink ref="R34" r:id="rId26" xr:uid="{451CF61A-2D4A-4560-8FF9-F403BB3969F3}"/>
    <hyperlink ref="R35" r:id="rId27" xr:uid="{9CD7C336-7133-4788-816B-87D943D34A82}"/>
    <hyperlink ref="R36" r:id="rId28" xr:uid="{6B3BEAE9-03D0-48AB-A0FE-A202BDC3E71B}"/>
    <hyperlink ref="R37" r:id="rId29" xr:uid="{82BB2DB7-8223-4874-B1A2-298A68FC025A}"/>
    <hyperlink ref="R38" r:id="rId30" xr:uid="{B3028C8C-FC46-4AFF-BFAE-B70A80EB7EDA}"/>
    <hyperlink ref="R39" r:id="rId31" xr:uid="{80E4CC7A-0509-464F-A55C-21D3BCA691D4}"/>
    <hyperlink ref="R40" r:id="rId32" xr:uid="{6D07EA6E-D7AE-495D-A8EE-1977A8AE7D7C}"/>
    <hyperlink ref="R41" r:id="rId33" xr:uid="{B6C6C247-BC06-4D1D-BA34-B514FDDD348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BOM_test1_2025-04-13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Gillian Argiolas</dc:creator>
  <cp:lastModifiedBy>Gillian Argiolas</cp:lastModifiedBy>
  <dcterms:created xsi:type="dcterms:W3CDTF">2025-04-14T02:55:59Z</dcterms:created>
  <dcterms:modified xsi:type="dcterms:W3CDTF">2025-04-14T03:12:21Z</dcterms:modified>
</cp:coreProperties>
</file>